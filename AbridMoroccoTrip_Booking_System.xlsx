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ook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b val="1"/>
      <color rgb="00FFFFFF"/>
      <sz val="10"/>
    </font>
    <font>
      <b val="1"/>
      <color rgb="001F4E79"/>
      <sz val="18"/>
    </font>
    <font>
      <b val="1"/>
      <color rgb="002E7D32"/>
      <sz val="18"/>
    </font>
    <font>
      <b val="1"/>
      <color rgb="00E65100"/>
      <sz val="18"/>
    </font>
    <font>
      <b val="1"/>
      <color rgb="000288D1"/>
      <sz val="18"/>
    </font>
    <font>
      <b val="1"/>
      <color rgb="002C1A12"/>
      <sz val="14"/>
    </font>
    <font>
      <b val="1"/>
      <color rgb="00FFFFFF"/>
    </font>
    <font>
      <name val="Calibri"/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B84F2B"/>
        <bgColor rgb="00B84F2B"/>
      </patternFill>
    </fill>
    <fill>
      <patternFill patternType="solid">
        <fgColor rgb="001F4E79"/>
        <bgColor rgb="001F4E79"/>
      </patternFill>
    </fill>
    <fill>
      <patternFill patternType="solid">
        <fgColor rgb="002E7D32"/>
        <bgColor rgb="002E7D32"/>
      </patternFill>
    </fill>
    <fill>
      <patternFill patternType="solid">
        <fgColor rgb="00E65100"/>
        <bgColor rgb="00E65100"/>
      </patternFill>
    </fill>
    <fill>
      <patternFill patternType="solid">
        <fgColor rgb="000288D1"/>
        <bgColor rgb="000288D1"/>
      </patternFill>
    </fill>
    <fill>
      <patternFill patternType="solid">
        <fgColor rgb="003F2A20"/>
        <bgColor rgb="003F2A2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7" borderId="0" applyAlignment="1" pivotButton="0" quotePrefix="0" xfId="0">
      <alignment horizontal="center" vertical="center"/>
    </xf>
    <xf numFmtId="164" fontId="0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30" customWidth="1" min="3" max="3"/>
    <col width="36" customWidth="1" min="4" max="4"/>
    <col width="54" customWidth="1" min="5" max="5"/>
    <col width="12" customWidth="1" min="6" max="6"/>
    <col width="42" customWidth="1" min="7" max="7"/>
    <col width="12" customWidth="1" min="8" max="8"/>
    <col width="44" customWidth="1" min="9" max="9"/>
    <col width="12" customWidth="1" min="10" max="10"/>
  </cols>
  <sheetData>
    <row r="1">
      <c r="A1" s="1" t="inlineStr">
        <is>
          <t>AbridMoroccoTrip — Booking Management Dashboard</t>
        </is>
      </c>
    </row>
    <row r="2"/>
    <row r="3"/>
    <row r="4">
      <c r="C4" s="2" t="inlineStr">
        <is>
          <t>Total Bookings</t>
        </is>
      </c>
      <c r="E4" s="3" t="inlineStr">
        <is>
          <t>Total Revenue ($)</t>
        </is>
      </c>
      <c r="G4" s="4" t="inlineStr">
        <is>
          <t>Pending Inquiries</t>
        </is>
      </c>
      <c r="I4" s="5" t="inlineStr">
        <is>
          <t>Confirmed Trips</t>
        </is>
      </c>
    </row>
    <row r="5">
      <c r="C5" s="6">
        <f>COUNTA('Bookings'!A5:A100)</f>
        <v/>
      </c>
      <c r="E5" s="7">
        <f>SUM('Bookings'!I5:I100)</f>
        <v/>
      </c>
      <c r="G5" s="8">
        <f>COUNTIF('Bookings'!K5:K100, "Pending")</f>
        <v/>
      </c>
      <c r="I5" s="9">
        <f>COUNTIF('Bookings'!K5:K100, "Confirmed")</f>
        <v/>
      </c>
    </row>
    <row r="6"/>
    <row r="7"/>
    <row r="8">
      <c r="B8" s="10" t="inlineStr">
        <is>
          <t>Tour Performance Summary</t>
        </is>
      </c>
    </row>
    <row r="9">
      <c r="B9" s="11" t="inlineStr">
        <is>
          <t>Tour Package</t>
        </is>
      </c>
      <c r="C9" s="11" t="inlineStr">
        <is>
          <t>Base Price</t>
        </is>
      </c>
      <c r="D9" s="11" t="inlineStr">
        <is>
          <t>Bookings Count</t>
        </is>
      </c>
      <c r="E9" s="11" t="inlineStr">
        <is>
          <t>Total Revenue</t>
        </is>
      </c>
    </row>
    <row r="10">
      <c r="B10" t="inlineStr">
        <is>
          <t>Marrakech Discovery Tour</t>
        </is>
      </c>
      <c r="C10" s="12" t="n">
        <v>55</v>
      </c>
      <c r="D10">
        <f>COUNTIF(Bookings!E$5:E$100, B10)</f>
        <v/>
      </c>
      <c r="E10" s="12">
        <f>SUMIF(Bookings!E$5:E$100, B10, Bookings!I$5:I$100)</f>
        <v/>
      </c>
    </row>
    <row r="11">
      <c r="B11" t="inlineStr">
        <is>
          <t>Atlas Mountains &amp; Ourika Valley</t>
        </is>
      </c>
      <c r="C11" s="12" t="n">
        <v>125</v>
      </c>
      <c r="D11">
        <f>COUNTIF(Bookings!E$5:E$100, B11)</f>
        <v/>
      </c>
      <c r="E11" s="12">
        <f>SUMIF(Bookings!E$5:E$100, B11, Bookings!I$5:I$100)</f>
        <v/>
      </c>
    </row>
    <row r="12">
      <c r="B12" t="inlineStr">
        <is>
          <t>Essaouira Coastal Escape</t>
        </is>
      </c>
      <c r="C12" s="12" t="n">
        <v>95</v>
      </c>
      <c r="D12">
        <f>COUNTIF(Bookings!E$5:E$100, B12)</f>
        <v/>
      </c>
      <c r="E12" s="12">
        <f>SUMIF(Bookings!E$5:E$100, B12, Bookings!I$5:I$100)</f>
        <v/>
      </c>
    </row>
    <row r="13">
      <c r="B13" t="inlineStr">
        <is>
          <t>Merzouga Desert Adventure (3D/2N)</t>
        </is>
      </c>
      <c r="C13" s="12" t="n">
        <v>145</v>
      </c>
      <c r="D13">
        <f>COUNTIF(Bookings!E$5:E$100, B13)</f>
        <v/>
      </c>
      <c r="E13" s="12">
        <f>SUMIF(Bookings!E$5:E$100, B13, Bookings!I$5:I$100)</f>
        <v/>
      </c>
    </row>
    <row r="14">
      <c r="B14" t="inlineStr">
        <is>
          <t>Imperial Cities Circuit (8D/7N)</t>
        </is>
      </c>
      <c r="C14" s="12" t="n">
        <v>2950</v>
      </c>
      <c r="D14">
        <f>COUNTIF(Bookings!E$5:E$100, B14)</f>
        <v/>
      </c>
      <c r="E14" s="12">
        <f>SUMIF(Bookings!E$5:E$100, B14, Bookings!I$5:I$100)</f>
        <v/>
      </c>
    </row>
    <row r="15">
      <c r="B15" t="inlineStr">
        <is>
          <t>Sunrise Balloon over Marrakech</t>
        </is>
      </c>
      <c r="C15" s="12" t="n">
        <v>260</v>
      </c>
      <c r="D15">
        <f>COUNTIF(Bookings!E$5:E$100, B15)</f>
        <v/>
      </c>
      <c r="E15" s="12">
        <f>SUMIF(Bookings!E$5:E$100, B15, Bookings!I$5:I$100)</f>
        <v/>
      </c>
    </row>
    <row r="16">
      <c r="B16" t="inlineStr">
        <is>
          <t>Private Tailor-Made Trip</t>
        </is>
      </c>
      <c r="C16" s="12" t="n">
        <v>1500</v>
      </c>
      <c r="D16">
        <f>COUNTIF(Bookings!E$5:E$100, B16)</f>
        <v/>
      </c>
      <c r="E16" s="12">
        <f>SUMIF(Bookings!E$5:E$100, B16, Bookings!I$5:I$100)</f>
        <v/>
      </c>
    </row>
  </sheetData>
  <mergeCells count="9">
    <mergeCell ref="G4:H4"/>
    <mergeCell ref="E4:F4"/>
    <mergeCell ref="I4:J4"/>
    <mergeCell ref="A1:G2"/>
    <mergeCell ref="C5:D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32" customWidth="1" min="4" max="4"/>
    <col width="35" customWidth="1" min="5" max="5"/>
    <col width="14" customWidth="1" min="6" max="6"/>
    <col width="12" customWidth="1" min="7" max="7"/>
    <col width="21" customWidth="1" min="8" max="8"/>
    <col width="18" customWidth="1" min="9" max="9"/>
    <col width="17" customWidth="1" min="10" max="10"/>
    <col width="17" customWidth="1" min="11" max="11"/>
    <col width="17" customWidth="1" min="12" max="12"/>
    <col width="35" customWidth="1" min="13" max="13"/>
  </cols>
  <sheetData>
    <row r="1">
      <c r="A1" s="13" t="inlineStr">
        <is>
          <t>AbridMoroccoTrip — Master Booking Register</t>
        </is>
      </c>
    </row>
    <row r="2"/>
    <row r="3"/>
    <row r="4">
      <c r="A4" s="14" t="inlineStr">
        <is>
          <t>Booking ID</t>
        </is>
      </c>
      <c r="B4" s="14" t="inlineStr">
        <is>
          <t>Date Received</t>
        </is>
      </c>
      <c r="C4" s="14" t="inlineStr">
        <is>
          <t>Customer Name</t>
        </is>
      </c>
      <c r="D4" s="14" t="inlineStr">
        <is>
          <t>Contact (Phone/Email)</t>
        </is>
      </c>
      <c r="E4" s="14" t="inlineStr">
        <is>
          <t>Interested Tour</t>
        </is>
      </c>
      <c r="F4" s="14" t="inlineStr">
        <is>
          <t>Travel Date</t>
        </is>
      </c>
      <c r="G4" s="14" t="inlineStr">
        <is>
          <t>Travelers</t>
        </is>
      </c>
      <c r="H4" s="14" t="inlineStr">
        <is>
          <t>Price / Person ($)</t>
        </is>
      </c>
      <c r="I4" s="14" t="inlineStr">
        <is>
          <t>Total Price ($)</t>
        </is>
      </c>
      <c r="J4" s="14" t="inlineStr">
        <is>
          <t>Payment Status</t>
        </is>
      </c>
      <c r="K4" s="14" t="inlineStr">
        <is>
          <t>Booking Status</t>
        </is>
      </c>
      <c r="L4" s="14" t="inlineStr">
        <is>
          <t>Assigned Guide</t>
        </is>
      </c>
      <c r="M4" s="14" t="inlineStr">
        <is>
          <t>Special Requests &amp; Notes</t>
        </is>
      </c>
    </row>
    <row r="5">
      <c r="A5" s="15" t="inlineStr">
        <is>
          <t>AMT-2026-001</t>
        </is>
      </c>
      <c r="B5" s="15" t="inlineStr">
        <is>
          <t>2026-07-20</t>
        </is>
      </c>
      <c r="C5" s="15" t="inlineStr">
        <is>
          <t>Jean Dupont</t>
        </is>
      </c>
      <c r="D5" s="15" t="inlineStr">
        <is>
          <t>+33 6 12 34 56 78 | jean@example.fr</t>
        </is>
      </c>
      <c r="E5" s="15" t="inlineStr">
        <is>
          <t>Merzouga Desert Adventure (3D/2N)</t>
        </is>
      </c>
      <c r="F5" s="15" t="inlineStr">
        <is>
          <t>2026-08-10</t>
        </is>
      </c>
      <c r="G5" s="15" t="n">
        <v>2</v>
      </c>
      <c r="H5" s="16" t="n">
        <v>145</v>
      </c>
      <c r="I5" s="16">
        <f>G5*H5</f>
        <v/>
      </c>
      <c r="J5" s="15" t="inlineStr">
        <is>
          <t>Paid</t>
        </is>
      </c>
      <c r="K5" s="15" t="inlineStr">
        <is>
          <t>Confirmed</t>
        </is>
      </c>
      <c r="L5" s="15" t="inlineStr">
        <is>
          <t>Abdellah</t>
        </is>
      </c>
      <c r="M5" s="15" t="inlineStr">
        <is>
          <t>Vegetarian meals requested</t>
        </is>
      </c>
    </row>
    <row r="6">
      <c r="A6" s="15" t="inlineStr">
        <is>
          <t>AMT-2026-002</t>
        </is>
      </c>
      <c r="B6" s="15" t="inlineStr">
        <is>
          <t>2026-07-21</t>
        </is>
      </c>
      <c r="C6" s="15" t="inlineStr">
        <is>
          <t>Sarah Jenkins</t>
        </is>
      </c>
      <c r="D6" s="15" t="inlineStr">
        <is>
          <t>+44 7700 900077 | sarah.j@example.co.uk</t>
        </is>
      </c>
      <c r="E6" s="15" t="inlineStr">
        <is>
          <t>Marrakech Discovery Tour</t>
        </is>
      </c>
      <c r="F6" s="15" t="inlineStr">
        <is>
          <t>2026-08-02</t>
        </is>
      </c>
      <c r="G6" s="15" t="n">
        <v>4</v>
      </c>
      <c r="H6" s="16" t="n">
        <v>55</v>
      </c>
      <c r="I6" s="16">
        <f>G6*H6</f>
        <v/>
      </c>
      <c r="J6" s="15" t="inlineStr">
        <is>
          <t>Unpaid (Cash)</t>
        </is>
      </c>
      <c r="K6" s="15" t="inlineStr">
        <is>
          <t>Confirmed</t>
        </is>
      </c>
      <c r="L6" s="15" t="inlineStr">
        <is>
          <t>Abdellah</t>
        </is>
      </c>
      <c r="M6" s="15" t="inlineStr">
        <is>
          <t>Hotel pickup at Riad Alma</t>
        </is>
      </c>
    </row>
    <row r="7">
      <c r="A7" s="15" t="inlineStr">
        <is>
          <t>AMT-2026-003</t>
        </is>
      </c>
      <c r="B7" s="15" t="inlineStr">
        <is>
          <t>2026-07-22</t>
        </is>
      </c>
      <c r="C7" s="15" t="inlineStr">
        <is>
          <t>Marco Müller</t>
        </is>
      </c>
      <c r="D7" s="15" t="inlineStr">
        <is>
          <t>+49 151 23456789 | marco@example.de</t>
        </is>
      </c>
      <c r="E7" s="15" t="inlineStr">
        <is>
          <t>Atlas Mountains &amp; Ourika Valley</t>
        </is>
      </c>
      <c r="F7" s="15" t="inlineStr">
        <is>
          <t>2026-08-05</t>
        </is>
      </c>
      <c r="G7" s="15" t="n">
        <v>2</v>
      </c>
      <c r="H7" s="16" t="n">
        <v>125</v>
      </c>
      <c r="I7" s="16">
        <f>G7*H7</f>
        <v/>
      </c>
      <c r="J7" s="15" t="inlineStr">
        <is>
          <t>Deposit Paid</t>
        </is>
      </c>
      <c r="K7" s="15" t="inlineStr">
        <is>
          <t>Confirmed</t>
        </is>
      </c>
      <c r="L7" s="15" t="inlineStr">
        <is>
          <t>Hassan</t>
        </is>
      </c>
      <c r="M7" s="15" t="inlineStr">
        <is>
          <t>Private 4x4 needed</t>
        </is>
      </c>
    </row>
    <row r="8">
      <c r="A8" s="15" t="inlineStr">
        <is>
          <t>AMT-2026-004</t>
        </is>
      </c>
      <c r="B8" s="15" t="inlineStr">
        <is>
          <t>2026-07-24</t>
        </is>
      </c>
      <c r="C8" s="15" t="inlineStr">
        <is>
          <t>Maria Garcia</t>
        </is>
      </c>
      <c r="D8" s="15" t="inlineStr">
        <is>
          <t>+34 612 345 678 | maria@example.es</t>
        </is>
      </c>
      <c r="E8" s="15" t="inlineStr">
        <is>
          <t>Essaouira Coastal Escape</t>
        </is>
      </c>
      <c r="F8" s="15" t="inlineStr">
        <is>
          <t>2026-08-12</t>
        </is>
      </c>
      <c r="G8" s="15" t="n">
        <v>3</v>
      </c>
      <c r="H8" s="16" t="n">
        <v>95</v>
      </c>
      <c r="I8" s="16">
        <f>G8*H8</f>
        <v/>
      </c>
      <c r="J8" s="15" t="inlineStr">
        <is>
          <t>Unpaid (Cash)</t>
        </is>
      </c>
      <c r="K8" s="15" t="inlineStr">
        <is>
          <t>Pending</t>
        </is>
      </c>
      <c r="L8" s="15" t="inlineStr">
        <is>
          <t>Abdellah</t>
        </is>
      </c>
      <c r="M8" s="15" t="inlineStr">
        <is>
          <t>Prefers Spanish speaking guide</t>
        </is>
      </c>
    </row>
    <row r="9">
      <c r="A9" s="15" t="inlineStr">
        <is>
          <t>AMT-2026-005</t>
        </is>
      </c>
      <c r="B9" s="15" t="inlineStr">
        <is>
          <t>2026-07-25</t>
        </is>
      </c>
      <c r="C9" s="15" t="inlineStr">
        <is>
          <t>John Smith</t>
        </is>
      </c>
      <c r="D9" s="15" t="inlineStr">
        <is>
          <t>+1 212 555 0199 | john.smith@example.com</t>
        </is>
      </c>
      <c r="E9" s="15" t="inlineStr">
        <is>
          <t>Imperial Cities Circuit (8D/7N)</t>
        </is>
      </c>
      <c r="F9" s="15" t="inlineStr">
        <is>
          <t>2026-09-01</t>
        </is>
      </c>
      <c r="G9" s="15" t="n">
        <v>2</v>
      </c>
      <c r="H9" s="16" t="n">
        <v>2950</v>
      </c>
      <c r="I9" s="16">
        <f>G9*H9</f>
        <v/>
      </c>
      <c r="J9" s="15" t="inlineStr">
        <is>
          <t>Deposit Paid</t>
        </is>
      </c>
      <c r="K9" s="15" t="inlineStr">
        <is>
          <t>Confirmed</t>
        </is>
      </c>
      <c r="L9" s="15" t="inlineStr">
        <is>
          <t>Youssef</t>
        </is>
      </c>
      <c r="M9" s="15" t="inlineStr">
        <is>
          <t>Luxury riads preferred</t>
        </is>
      </c>
    </row>
    <row r="10">
      <c r="A10" s="15" t="inlineStr">
        <is>
          <t>AMT-2026-006</t>
        </is>
      </c>
      <c r="B10" s="15" t="inlineStr">
        <is>
          <t>2026-07-26</t>
        </is>
      </c>
      <c r="C10" s="15" t="inlineStr">
        <is>
          <t>Lisa Ray</t>
        </is>
      </c>
      <c r="D10" s="15" t="inlineStr">
        <is>
          <t>+1 312 555 0144 | lisa@example.com</t>
        </is>
      </c>
      <c r="E10" s="15" t="inlineStr">
        <is>
          <t>Sunrise Balloon over Marrakech</t>
        </is>
      </c>
      <c r="F10" s="15" t="inlineStr">
        <is>
          <t>2026-08-03</t>
        </is>
      </c>
      <c r="G10" s="15" t="n">
        <v>2</v>
      </c>
      <c r="H10" s="16" t="n">
        <v>260</v>
      </c>
      <c r="I10" s="16">
        <f>G10*H10</f>
        <v/>
      </c>
      <c r="J10" s="15" t="inlineStr">
        <is>
          <t>Paid</t>
        </is>
      </c>
      <c r="K10" s="15" t="inlineStr">
        <is>
          <t>Confirmed</t>
        </is>
      </c>
      <c r="L10" s="15" t="inlineStr">
        <is>
          <t>Flight Partner</t>
        </is>
      </c>
      <c r="M10" s="15" t="inlineStr">
        <is>
          <t>Honeymoon couple - special touch</t>
        </is>
      </c>
    </row>
    <row r="11">
      <c r="A11" s="15" t="inlineStr">
        <is>
          <t>AMT-2026-007</t>
        </is>
      </c>
      <c r="B11" s="15" t="inlineStr">
        <is>
          <t>2026-07-27</t>
        </is>
      </c>
      <c r="C11" s="15" t="inlineStr">
        <is>
          <t>Emma Watson</t>
        </is>
      </c>
      <c r="D11" s="15" t="inlineStr">
        <is>
          <t>+1 416 555 0188 | emma@example.ca</t>
        </is>
      </c>
      <c r="E11" s="15" t="inlineStr">
        <is>
          <t>Private Tailor-Made Trip</t>
        </is>
      </c>
      <c r="F11" s="15" t="inlineStr">
        <is>
          <t>2026-09-15</t>
        </is>
      </c>
      <c r="G11" s="15" t="n">
        <v>5</v>
      </c>
      <c r="H11" s="16" t="n">
        <v>1200</v>
      </c>
      <c r="I11" s="16">
        <f>G11*H11</f>
        <v/>
      </c>
      <c r="J11" s="15" t="inlineStr">
        <is>
          <t>Inquired</t>
        </is>
      </c>
      <c r="K11" s="15" t="inlineStr">
        <is>
          <t>Pending</t>
        </is>
      </c>
      <c r="L11" s="15" t="inlineStr">
        <is>
          <t>Abdellah</t>
        </is>
      </c>
      <c r="M11" s="15" t="inlineStr">
        <is>
          <t>Custom 10-day luxury itinerary requested</t>
        </is>
      </c>
    </row>
  </sheetData>
  <mergeCells count="1">
    <mergeCell ref="A1:M2"/>
  </mergeCells>
  <dataValidations count="3">
    <dataValidation sqref="J5:J100" showDropDown="0" showInputMessage="0" showErrorMessage="0" allowBlank="1" type="list">
      <formula1>"Paid, Unpaid (Cash), Deposit Paid, Inquired, Refunded"</formula1>
    </dataValidation>
    <dataValidation sqref="K5:K100" showDropDown="0" showInputMessage="0" showErrorMessage="0" allowBlank="1" type="list">
      <formula1>"Pending, Confirmed, Completed, Cancelled"</formula1>
    </dataValidation>
    <dataValidation sqref="E5:E100" showDropDown="0" showInputMessage="0" showErrorMessage="0" allowBlank="1" type="list">
      <formula1>"Marrakech Discovery Tour, Atlas Mountains &amp; Ourika Valley, Essaouira Coastal Escape, Merzouga Desert Adventure (3D/2N), Imperial Cities Circuit (8D/7N), Sunrise Balloon over Marrakech, Private Tailor-Made Trip"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2026-07-30T19:36:13Z</dcterms:created>
  <dcterms:modified xsi:type="dcterms:W3CDTF">2026-07-30T19:36:13Z</dcterms:modified>
</cp:coreProperties>
</file>